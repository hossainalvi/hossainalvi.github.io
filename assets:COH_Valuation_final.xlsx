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lvi/ALVI/IMC/SEM-2/Finance/"/>
    </mc:Choice>
  </mc:AlternateContent>
  <xr:revisionPtr revIDLastSave="0" documentId="13_ncr:1_{10D335CC-1468-0D41-B901-212FCB8D1956}" xr6:coauthVersionLast="47" xr6:coauthVersionMax="47" xr10:uidLastSave="{00000000-0000-0000-0000-000000000000}"/>
  <bookViews>
    <workbookView xWindow="0" yWindow="660" windowWidth="29040" windowHeight="15720" tabRatio="500" xr2:uid="{00000000-000D-0000-FFFF-FFFF00000000}"/>
  </bookViews>
  <sheets>
    <sheet name="Valuatio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4" i="1" l="1"/>
  <c r="C14" i="1"/>
  <c r="E6" i="1"/>
  <c r="E14" i="1" s="1"/>
  <c r="B17" i="1" l="1"/>
  <c r="B21" i="1" s="1"/>
  <c r="B23" i="1" s="1"/>
  <c r="B20" i="1"/>
  <c r="B26" i="1" s="1"/>
  <c r="B31" i="1" l="1"/>
  <c r="B36" i="1" s="1"/>
  <c r="B35" i="1" l="1"/>
</calcChain>
</file>

<file path=xl/sharedStrings.xml><?xml version="1.0" encoding="utf-8"?>
<sst xmlns="http://schemas.openxmlformats.org/spreadsheetml/2006/main" count="43" uniqueCount="39">
  <si>
    <t>Cochlear Limited (COH.AX) - Stock Valuation</t>
  </si>
  <si>
    <t>FY2024</t>
  </si>
  <si>
    <t>FY2025</t>
  </si>
  <si>
    <t>FY2027 (Forecast)</t>
  </si>
  <si>
    <t>Free Cash Flow</t>
  </si>
  <si>
    <t>fiscal yr</t>
  </si>
  <si>
    <t>Using the latest 3 completed years (FY2024-FY2026) - see note below on why FY2023 is excluded.</t>
  </si>
  <si>
    <t>Growth rate (g) - year-on-year, averaged</t>
  </si>
  <si>
    <t>Growth rate row: each cell = (this year - prior year) / prior year</t>
  </si>
  <si>
    <t>growth rate</t>
  </si>
  <si>
    <t>FY2024-&gt;FY2025</t>
  </si>
  <si>
    <t>FY2025-&gt;FY2026</t>
  </si>
  <si>
    <t>FY2026-&gt;FY2027 (fcst)</t>
  </si>
  <si>
    <t>Average g = AVERAGE of the three growth rates above</t>
  </si>
  <si>
    <t>g =</t>
  </si>
  <si>
    <t>Valuation inputs</t>
  </si>
  <si>
    <t>D1 (forecast FCF, $'000)</t>
  </si>
  <si>
    <t>g (average growth rate)</t>
  </si>
  <si>
    <t>r (Return on Assets, ttm - Yahoo Statistics)</t>
  </si>
  <si>
    <t>r - g</t>
  </si>
  <si>
    <t>Company value: P0 = D1 / (r - g)</t>
  </si>
  <si>
    <t>Value per share = P0 / shares outstanding</t>
  </si>
  <si>
    <t>Value per share =</t>
  </si>
  <si>
    <t>Compare to market</t>
  </si>
  <si>
    <t>Difference (calc value - market price)</t>
  </si>
  <si>
    <t>Verdict</t>
  </si>
  <si>
    <t>Note: r and g are very close (r-g is small), which makes P0 extremely sensitive to small changes in either input - this is why the theoretical value comes out far above the market price. Discuss this sensitivity in the written report.</t>
  </si>
  <si>
    <t>Reference only - why FY2023 was excluded (not used in the valuation above)</t>
  </si>
  <si>
    <t>If FY2023 is included (4 years: FY2023-FY2026), the year-on-year growth rates are:</t>
  </si>
  <si>
    <t>FY2023-&gt;FY2024</t>
  </si>
  <si>
    <t>4-year average g =</t>
  </si>
  <si>
    <t xml:space="preserve">                                                FY</t>
  </si>
  <si>
    <t xml:space="preserve">FY2026 </t>
  </si>
  <si>
    <t>Market price (COH.AX, 30 june 2026)</t>
  </si>
  <si>
    <t>Free Cash Flow ($'Million) - source: Yahoo Finance</t>
  </si>
  <si>
    <r>
      <t>Shares outstanding ('</t>
    </r>
    <r>
      <rPr>
        <b/>
        <sz val="11"/>
        <color theme="1"/>
        <rFont val="Calibri"/>
        <family val="2"/>
        <scheme val="minor"/>
      </rPr>
      <t>Million</t>
    </r>
    <r>
      <rPr>
        <sz val="11"/>
        <color theme="1"/>
        <rFont val="Calibri"/>
        <family val="2"/>
        <scheme val="minor"/>
      </rPr>
      <t>) - Yahoo Statistics</t>
    </r>
  </si>
  <si>
    <t xml:space="preserve">This 4-year average g (9.7606%) is slightly higher than r (9.71%), so r - g is negative and P0 comes out negative/unrealistic. This is why the 3-year period (FY2024-FY2026) was used instead. </t>
  </si>
  <si>
    <r>
      <t>P0 ($'</t>
    </r>
    <r>
      <rPr>
        <b/>
        <sz val="11"/>
        <color theme="1"/>
        <rFont val="Calibri"/>
        <family val="2"/>
        <scheme val="minor"/>
      </rPr>
      <t>Billion</t>
    </r>
    <r>
      <rPr>
        <sz val="11"/>
        <color theme="1"/>
        <rFont val="Calibri"/>
        <family val="2"/>
        <scheme val="minor"/>
      </rPr>
      <t>) =</t>
    </r>
  </si>
  <si>
    <t>FCF based DDM (3-year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</si>
</sst>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&quot;$&quot;#,##0.0"/>
    <numFmt numFmtId="166" formatCode="0.0000%"/>
    <numFmt numFmtId="167" formatCode="&quot;$&quot;0.00,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0" fontId="0" fillId="0" borderId="0" xfId="0" applyNumberFormat="1"/>
    <xf numFmtId="164" fontId="0" fillId="0" borderId="0" xfId="0" applyNumberFormat="1"/>
    <xf numFmtId="0" fontId="0" fillId="33" borderId="0" xfId="0" applyFill="1"/>
    <xf numFmtId="0" fontId="0" fillId="34" borderId="0" xfId="0" applyFill="1"/>
    <xf numFmtId="0" fontId="19" fillId="0" borderId="0" xfId="0" applyFont="1"/>
    <xf numFmtId="0" fontId="18" fillId="0" borderId="0" xfId="0" applyFont="1"/>
    <xf numFmtId="0" fontId="16" fillId="33" borderId="0" xfId="0" applyFont="1" applyFill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zoomScale="128" zoomScaleNormal="154" workbookViewId="0">
      <selection activeCell="A3" sqref="A3"/>
    </sheetView>
  </sheetViews>
  <sheetFormatPr baseColWidth="10" defaultColWidth="8.6640625" defaultRowHeight="15" x14ac:dyDescent="0.2"/>
  <cols>
    <col min="1" max="1" width="46" customWidth="1"/>
    <col min="2" max="6" width="16" customWidth="1"/>
  </cols>
  <sheetData>
    <row r="1" spans="1:5" ht="19" x14ac:dyDescent="0.25">
      <c r="A1" s="5" t="s">
        <v>0</v>
      </c>
    </row>
    <row r="2" spans="1:5" ht="16" x14ac:dyDescent="0.2">
      <c r="A2" s="6" t="s">
        <v>38</v>
      </c>
    </row>
    <row r="4" spans="1:5" x14ac:dyDescent="0.2">
      <c r="A4" s="7" t="s">
        <v>34</v>
      </c>
      <c r="B4" s="3"/>
      <c r="C4" s="3"/>
      <c r="D4" s="3"/>
      <c r="E4" s="3"/>
    </row>
    <row r="5" spans="1:5" x14ac:dyDescent="0.2">
      <c r="A5" s="4" t="s">
        <v>31</v>
      </c>
      <c r="B5" s="4" t="s">
        <v>1</v>
      </c>
      <c r="C5" s="4" t="s">
        <v>2</v>
      </c>
      <c r="D5" s="4" t="s">
        <v>32</v>
      </c>
      <c r="E5" s="4" t="s">
        <v>3</v>
      </c>
    </row>
    <row r="6" spans="1:5" x14ac:dyDescent="0.2">
      <c r="A6" t="s">
        <v>4</v>
      </c>
      <c r="B6" s="8">
        <v>299</v>
      </c>
      <c r="C6" s="8">
        <v>135</v>
      </c>
      <c r="D6" s="8">
        <v>277.3</v>
      </c>
      <c r="E6" s="8">
        <f>FORECAST(E7,B6:D6,B7:D7)</f>
        <v>215.39999999999782</v>
      </c>
    </row>
    <row r="7" spans="1:5" x14ac:dyDescent="0.2">
      <c r="A7" t="s">
        <v>5</v>
      </c>
      <c r="B7">
        <v>2024</v>
      </c>
      <c r="C7">
        <v>2025</v>
      </c>
      <c r="D7">
        <v>2026</v>
      </c>
      <c r="E7">
        <v>2027</v>
      </c>
    </row>
    <row r="9" spans="1:5" x14ac:dyDescent="0.2">
      <c r="A9" t="s">
        <v>6</v>
      </c>
    </row>
    <row r="11" spans="1:5" x14ac:dyDescent="0.2">
      <c r="A11" s="3" t="s">
        <v>7</v>
      </c>
      <c r="B11" s="3"/>
      <c r="C11" s="3"/>
      <c r="D11" s="3"/>
      <c r="E11" s="3"/>
    </row>
    <row r="12" spans="1:5" x14ac:dyDescent="0.2">
      <c r="A12" t="s">
        <v>8</v>
      </c>
    </row>
    <row r="13" spans="1:5" x14ac:dyDescent="0.2">
      <c r="B13" t="s">
        <v>9</v>
      </c>
      <c r="C13" t="s">
        <v>10</v>
      </c>
      <c r="D13" t="s">
        <v>11</v>
      </c>
      <c r="E13" t="s">
        <v>12</v>
      </c>
    </row>
    <row r="14" spans="1:5" x14ac:dyDescent="0.2">
      <c r="C14" s="1">
        <f>(C6-B6)/B6</f>
        <v>-0.54849498327759194</v>
      </c>
      <c r="D14" s="1">
        <f>(D6-C6)/C6</f>
        <v>1.0540740740740742</v>
      </c>
      <c r="E14" s="1">
        <f>(E6-D6)/D6</f>
        <v>-0.22322394518572733</v>
      </c>
    </row>
    <row r="16" spans="1:5" x14ac:dyDescent="0.2">
      <c r="A16" t="s">
        <v>13</v>
      </c>
    </row>
    <row r="17" spans="1:5" x14ac:dyDescent="0.2">
      <c r="A17" t="s">
        <v>14</v>
      </c>
      <c r="B17" s="9">
        <f>AVERAGE(C14:E14)</f>
        <v>9.4118381870251636E-2</v>
      </c>
    </row>
    <row r="19" spans="1:5" x14ac:dyDescent="0.2">
      <c r="A19" s="3" t="s">
        <v>15</v>
      </c>
      <c r="B19" s="3"/>
      <c r="C19" s="3"/>
      <c r="D19" s="3"/>
      <c r="E19" s="3"/>
    </row>
    <row r="20" spans="1:5" x14ac:dyDescent="0.2">
      <c r="A20" t="s">
        <v>16</v>
      </c>
      <c r="B20">
        <f>E6</f>
        <v>215.39999999999782</v>
      </c>
    </row>
    <row r="21" spans="1:5" x14ac:dyDescent="0.2">
      <c r="A21" t="s">
        <v>17</v>
      </c>
      <c r="B21" s="9">
        <f>B17</f>
        <v>9.4118381870251636E-2</v>
      </c>
    </row>
    <row r="22" spans="1:5" x14ac:dyDescent="0.2">
      <c r="A22" t="s">
        <v>18</v>
      </c>
      <c r="B22" s="1">
        <v>9.7100000000000006E-2</v>
      </c>
    </row>
    <row r="23" spans="1:5" x14ac:dyDescent="0.2">
      <c r="A23" t="s">
        <v>19</v>
      </c>
      <c r="B23" s="9">
        <f>B22-B21</f>
        <v>2.9816181297483701E-3</v>
      </c>
    </row>
    <row r="25" spans="1:5" x14ac:dyDescent="0.2">
      <c r="A25" s="3" t="s">
        <v>20</v>
      </c>
      <c r="B25" s="3"/>
      <c r="C25" s="3"/>
      <c r="D25" s="3"/>
      <c r="E25" s="3"/>
    </row>
    <row r="26" spans="1:5" x14ac:dyDescent="0.2">
      <c r="A26" t="s">
        <v>37</v>
      </c>
      <c r="B26" s="10">
        <f>B20/B23</f>
        <v>72242.65168329126</v>
      </c>
    </row>
    <row r="28" spans="1:5" x14ac:dyDescent="0.2">
      <c r="A28" t="s">
        <v>35</v>
      </c>
      <c r="B28">
        <v>65.400000000000006</v>
      </c>
    </row>
    <row r="30" spans="1:5" x14ac:dyDescent="0.2">
      <c r="A30" s="3" t="s">
        <v>21</v>
      </c>
      <c r="B30" s="3"/>
      <c r="C30" s="3"/>
      <c r="D30" s="3"/>
      <c r="E30" s="3"/>
    </row>
    <row r="31" spans="1:5" x14ac:dyDescent="0.2">
      <c r="A31" t="s">
        <v>22</v>
      </c>
      <c r="B31" s="2">
        <f>B26/B28</f>
        <v>1104.6277015793769</v>
      </c>
    </row>
    <row r="33" spans="1:5" x14ac:dyDescent="0.2">
      <c r="A33" s="3" t="s">
        <v>23</v>
      </c>
      <c r="B33" s="3"/>
      <c r="C33" s="3"/>
      <c r="D33" s="3"/>
      <c r="E33" s="3"/>
    </row>
    <row r="34" spans="1:5" x14ac:dyDescent="0.2">
      <c r="A34" t="s">
        <v>33</v>
      </c>
      <c r="B34" s="2">
        <v>121.75</v>
      </c>
    </row>
    <row r="35" spans="1:5" x14ac:dyDescent="0.2">
      <c r="A35" t="s">
        <v>24</v>
      </c>
      <c r="B35" s="2">
        <f>B31-B34</f>
        <v>982.87770157937689</v>
      </c>
    </row>
    <row r="36" spans="1:5" x14ac:dyDescent="0.2">
      <c r="A36" t="s">
        <v>25</v>
      </c>
      <c r="B36" t="str">
        <f>IF(B31&gt;B34,"Undervalued","Overvalued")</f>
        <v>Undervalued</v>
      </c>
    </row>
    <row r="38" spans="1:5" x14ac:dyDescent="0.2">
      <c r="A38" t="s">
        <v>26</v>
      </c>
    </row>
    <row r="41" spans="1:5" x14ac:dyDescent="0.2">
      <c r="A41" s="3" t="s">
        <v>27</v>
      </c>
      <c r="B41" s="3"/>
      <c r="C41" s="3"/>
      <c r="D41" s="3"/>
      <c r="E41" s="3"/>
    </row>
    <row r="42" spans="1:5" x14ac:dyDescent="0.2">
      <c r="A42" t="s">
        <v>28</v>
      </c>
    </row>
    <row r="43" spans="1:5" x14ac:dyDescent="0.2">
      <c r="B43" t="s">
        <v>29</v>
      </c>
      <c r="C43" t="s">
        <v>10</v>
      </c>
      <c r="D43" t="s">
        <v>11</v>
      </c>
      <c r="E43" t="s">
        <v>12</v>
      </c>
    </row>
    <row r="44" spans="1:5" x14ac:dyDescent="0.2">
      <c r="A44" t="s">
        <v>9</v>
      </c>
      <c r="B44" s="1">
        <v>0.12195121951219499</v>
      </c>
      <c r="C44" s="1">
        <v>-0.54849498327759205</v>
      </c>
      <c r="D44" s="1">
        <v>1.0540740740740699</v>
      </c>
      <c r="E44" s="1">
        <v>-0.23710782545979101</v>
      </c>
    </row>
    <row r="45" spans="1:5" x14ac:dyDescent="0.2">
      <c r="A45" t="s">
        <v>30</v>
      </c>
      <c r="B45" s="9">
        <v>9.7605621212221605E-2</v>
      </c>
    </row>
    <row r="47" spans="1:5" x14ac:dyDescent="0.2">
      <c r="A47" t="s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Yeasin Arafat Riyad</cp:lastModifiedBy>
  <cp:revision>0</cp:revision>
  <dcterms:created xsi:type="dcterms:W3CDTF">2026-09-10T07:02:12Z</dcterms:created>
  <dcterms:modified xsi:type="dcterms:W3CDTF">2026-10-22T10:16:34Z</dcterms:modified>
  <dc:language>en-US</dc:language>
</cp:coreProperties>
</file>